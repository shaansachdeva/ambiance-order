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ansachdeva/Desktop/"/>
    </mc:Choice>
  </mc:AlternateContent>
  <xr:revisionPtr revIDLastSave="0" documentId="13_ncr:1_{771764CC-6F0D-5A42-9291-65D2EFEB9048}" xr6:coauthVersionLast="47" xr6:coauthVersionMax="47" xr10:uidLastSave="{00000000-0000-0000-0000-000000000000}"/>
  <bookViews>
    <workbookView xWindow="1080" yWindow="1180" windowWidth="27640" windowHeight="16360" xr2:uid="{1ADA9CE0-F585-034C-8209-421235A4C5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21" i="1" s="1"/>
  <c r="B14" i="1"/>
  <c r="B20" i="1" s="1"/>
  <c r="B15" i="1" l="1"/>
  <c r="B16" i="1"/>
  <c r="B17" i="1" s="1"/>
  <c r="B19" i="1"/>
</calcChain>
</file>

<file path=xl/sharedStrings.xml><?xml version="1.0" encoding="utf-8"?>
<sst xmlns="http://schemas.openxmlformats.org/spreadsheetml/2006/main" count="34" uniqueCount="32">
  <si>
    <t>Factor</t>
  </si>
  <si>
    <t>Value</t>
  </si>
  <si>
    <t>Description</t>
  </si>
  <si>
    <t>Constant (0.0144)</t>
  </si>
  <si>
    <t>Micron</t>
  </si>
  <si>
    <t>Look at the tabke on right</t>
  </si>
  <si>
    <t>Price per Kg (Base)</t>
  </si>
  <si>
    <t>Base raw material price</t>
  </si>
  <si>
    <t>Customization</t>
  </si>
  <si>
    <t>Length (m)</t>
  </si>
  <si>
    <t>Tape length</t>
  </si>
  <si>
    <t>Production Cost</t>
  </si>
  <si>
    <t>Overheads + profit</t>
  </si>
  <si>
    <t>Freight</t>
  </si>
  <si>
    <t>GST %</t>
  </si>
  <si>
    <t>Fixed at 18%</t>
  </si>
  <si>
    <t>Pcs</t>
  </si>
  <si>
    <t>0.5→288, 3/4→216, 1→144, 2→72, 2.5→60, 3→48</t>
  </si>
  <si>
    <t>Cash %</t>
  </si>
  <si>
    <t>Output</t>
  </si>
  <si>
    <t>Price (Excl. GST)</t>
  </si>
  <si>
    <t>Price (Incl. GST)</t>
  </si>
  <si>
    <t>Price/Roll (Excl. GST)</t>
  </si>
  <si>
    <t>Price/Roll (Incl. GST)</t>
  </si>
  <si>
    <t>Price Half Box (Excl. GST)</t>
  </si>
  <si>
    <t>Price Half Box (Incl. GST)</t>
  </si>
  <si>
    <t>Cash Price for Full Box</t>
  </si>
  <si>
    <t>Cash Price for Half Box</t>
  </si>
  <si>
    <t>for all sizes (0.0144) and for 2.5 inch use (0.015)</t>
  </si>
  <si>
    <t>MICRON</t>
  </si>
  <si>
    <t>VALUE TO CALCULATE</t>
  </si>
  <si>
    <t>CUSTOM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</si>
</sst>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name val="Calibri"/>
      <family val="2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b/>
      <u/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FBFB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0" fillId="0" borderId="0" xfId="0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  <xf numFmtId="2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3C1B-882E-9346-BAE7-41D77FACD4A0}">
  <dimension ref="A1:E21"/>
  <sheetViews>
    <sheetView tabSelected="1" zoomScale="163" workbookViewId="0">
      <selection activeCell="C10" sqref="C10"/>
    </sheetView>
  </sheetViews>
  <sheetFormatPr baseColWidth="10" defaultRowHeight="16" x14ac:dyDescent="0.2"/>
  <cols>
    <col min="3" max="3" width="45.5" customWidth="1"/>
    <col min="4" max="4" width="19.664062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</row>
    <row r="2" spans="1:5" x14ac:dyDescent="0.2">
      <c r="A2" s="3" t="s">
        <v>3</v>
      </c>
      <c r="B2" s="4">
        <v>1.44E-2</v>
      </c>
      <c r="C2" s="5" t="s">
        <v>28</v>
      </c>
    </row>
    <row r="3" spans="1:5" x14ac:dyDescent="0.2">
      <c r="A3" s="3" t="s">
        <v>4</v>
      </c>
      <c r="B3" s="4">
        <v>9.5</v>
      </c>
      <c r="C3" s="5" t="s">
        <v>5</v>
      </c>
      <c r="D3" s="24" t="s">
        <v>30</v>
      </c>
      <c r="E3" s="24" t="s">
        <v>29</v>
      </c>
    </row>
    <row r="4" spans="1:5" x14ac:dyDescent="0.2">
      <c r="A4" s="3" t="s">
        <v>6</v>
      </c>
      <c r="B4" s="4">
        <v>210</v>
      </c>
      <c r="C4" s="5" t="s">
        <v>7</v>
      </c>
      <c r="D4" s="20">
        <v>8</v>
      </c>
      <c r="E4" s="21">
        <v>34</v>
      </c>
    </row>
    <row r="5" spans="1:5" x14ac:dyDescent="0.2">
      <c r="A5" s="3" t="s">
        <v>8</v>
      </c>
      <c r="B5" s="4">
        <v>0</v>
      </c>
      <c r="C5" s="5" t="s">
        <v>31</v>
      </c>
      <c r="D5" s="22">
        <v>8.5</v>
      </c>
      <c r="E5" s="23">
        <v>36</v>
      </c>
    </row>
    <row r="6" spans="1:5" x14ac:dyDescent="0.2">
      <c r="A6" s="3" t="s">
        <v>9</v>
      </c>
      <c r="B6" s="6">
        <v>100</v>
      </c>
      <c r="C6" s="5" t="s">
        <v>10</v>
      </c>
      <c r="D6" s="22">
        <v>9</v>
      </c>
      <c r="E6" s="23">
        <v>38</v>
      </c>
    </row>
    <row r="7" spans="1:5" x14ac:dyDescent="0.2">
      <c r="A7" s="3" t="s">
        <v>11</v>
      </c>
      <c r="B7" s="7">
        <v>400</v>
      </c>
      <c r="C7" s="5" t="s">
        <v>12</v>
      </c>
      <c r="D7" s="22">
        <v>9.5</v>
      </c>
      <c r="E7" s="23">
        <v>40</v>
      </c>
    </row>
    <row r="8" spans="1:5" x14ac:dyDescent="0.2">
      <c r="A8" s="3" t="s">
        <v>13</v>
      </c>
      <c r="B8" s="7">
        <v>0</v>
      </c>
      <c r="C8" s="5" t="s">
        <v>13</v>
      </c>
      <c r="D8" s="22">
        <v>10</v>
      </c>
      <c r="E8" s="23">
        <v>42</v>
      </c>
    </row>
    <row r="9" spans="1:5" x14ac:dyDescent="0.2">
      <c r="A9" s="3" t="s">
        <v>14</v>
      </c>
      <c r="B9" s="4">
        <v>18</v>
      </c>
      <c r="C9" s="5" t="s">
        <v>15</v>
      </c>
      <c r="D9" s="22">
        <v>10.5</v>
      </c>
      <c r="E9" s="23">
        <v>44</v>
      </c>
    </row>
    <row r="10" spans="1:5" x14ac:dyDescent="0.2">
      <c r="A10" s="3" t="s">
        <v>16</v>
      </c>
      <c r="B10" s="4">
        <v>72</v>
      </c>
      <c r="C10" s="5" t="s">
        <v>17</v>
      </c>
      <c r="D10" s="22">
        <v>11</v>
      </c>
      <c r="E10" s="23">
        <v>46</v>
      </c>
    </row>
    <row r="11" spans="1:5" x14ac:dyDescent="0.2">
      <c r="A11" s="3" t="s">
        <v>18</v>
      </c>
      <c r="B11" s="4">
        <v>9</v>
      </c>
      <c r="D11" s="22">
        <v>11.5</v>
      </c>
      <c r="E11" s="23">
        <v>48</v>
      </c>
    </row>
    <row r="12" spans="1:5" x14ac:dyDescent="0.2">
      <c r="D12" s="22">
        <v>12</v>
      </c>
      <c r="E12" s="23">
        <v>50</v>
      </c>
    </row>
    <row r="13" spans="1:5" x14ac:dyDescent="0.2">
      <c r="A13" s="8" t="s">
        <v>19</v>
      </c>
      <c r="B13" s="8" t="s">
        <v>1</v>
      </c>
    </row>
    <row r="14" spans="1:5" x14ac:dyDescent="0.2">
      <c r="A14" s="9" t="s">
        <v>20</v>
      </c>
      <c r="B14" s="10">
        <f>B2*B3*(B4+B5)*B6+B7+B8</f>
        <v>3272.8</v>
      </c>
    </row>
    <row r="15" spans="1:5" x14ac:dyDescent="0.2">
      <c r="A15" s="9" t="s">
        <v>21</v>
      </c>
      <c r="B15" s="10">
        <f>B14*(1+B9/100)</f>
        <v>3861.904</v>
      </c>
    </row>
    <row r="16" spans="1:5" x14ac:dyDescent="0.2">
      <c r="A16" s="11" t="s">
        <v>22</v>
      </c>
      <c r="B16" s="12">
        <f>B14/B10</f>
        <v>45.455555555555556</v>
      </c>
      <c r="C16" s="13"/>
    </row>
    <row r="17" spans="1:2" x14ac:dyDescent="0.2">
      <c r="A17" s="11" t="s">
        <v>23</v>
      </c>
      <c r="B17" s="12">
        <f>B16*(1+B9/100)</f>
        <v>53.637555555555551</v>
      </c>
    </row>
    <row r="18" spans="1:2" x14ac:dyDescent="0.2">
      <c r="A18" s="14" t="s">
        <v>24</v>
      </c>
      <c r="B18" s="15">
        <f>(B2*B3*(B4+B5)*B6+B7+B8)/2</f>
        <v>1636.4</v>
      </c>
    </row>
    <row r="19" spans="1:2" x14ac:dyDescent="0.2">
      <c r="A19" s="14" t="s">
        <v>25</v>
      </c>
      <c r="B19" s="15">
        <f>B18*(1+B9/100)</f>
        <v>1930.952</v>
      </c>
    </row>
    <row r="20" spans="1:2" x14ac:dyDescent="0.2">
      <c r="A20" s="16" t="s">
        <v>26</v>
      </c>
      <c r="B20" s="17">
        <f>B14*(1+B11/100)</f>
        <v>3567.3520000000003</v>
      </c>
    </row>
    <row r="21" spans="1:2" x14ac:dyDescent="0.2">
      <c r="A21" s="18" t="s">
        <v>27</v>
      </c>
      <c r="B21" s="19">
        <f>B18*(1+B11/100)</f>
        <v>1783.6760000000002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SHAAAAAAAN</dc:creator>
  <cp:lastModifiedBy>SHAAAAAAAN</cp:lastModifiedBy>
  <dcterms:created xsi:type="dcterms:W3CDTF">2026-04-05T17:08:24Z</dcterms:created>
  <dcterms:modified xsi:type="dcterms:W3CDTF">2026-04-05T17:17:47Z</dcterms:modified>
</cp:coreProperties>
</file>